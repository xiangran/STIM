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914d7b1db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审批" sheetId="1" r:id="R924dab2c819b47ec"/>
    <x:sheet xmlns:r="http://schemas.openxmlformats.org/officeDocument/2006/relationships" name="采购清单" sheetId="2" r:id="Rf61f18080acc43d2"/>
  </x:sheets>
</x:workbook>
</file>

<file path=xl/sharedStrings.xml><?xml version="1.0" encoding="utf-8"?>
<x:sst xmlns:x="http://schemas.openxmlformats.org/spreadsheetml/2006/main">
  <x:si>
    <x:t xml:space="preserve">低中频治疗仪研发采购申请汇总</x:t>
  </x:si>
  <x:si>
    <x:t xml:space="preserve">项目架构：Linux核心板负责UI/业务，专用MCU负责4路中频实时输出与安全控制；12个低频模块独立运行/充电</x:t>
  </x:si>
  <x:si>
    <x:t xml:space="preserve">审批概览（自动汇总采购清单）</x:t>
  </x:si>
  <x:si>
    <x:t xml:space="preserve">按类别汇总</x:t>
  </x:si>
  <x:si>
    <x:t xml:space="preserve">类别</x:t>
  </x:si>
  <x:si>
    <x:t xml:space="preserve">条目数</x:t>
  </x:si>
  <x:si>
    <x:t xml:space="preserve">数量合计</x:t>
  </x:si>
  <x:si>
    <x:t xml:space="preserve">预算小计(元)</x:t>
  </x:si>
  <x:si>
    <x:t xml:space="preserve">MCU与调试</x:t>
  </x:si>
  <x:si>
    <x:t xml:space="preserve">通信联调</x:t>
  </x:si>
  <x:si>
    <x:t xml:space="preserve">基础仪器</x:t>
  </x:si>
  <x:si>
    <x:t xml:space="preserve">数字调试</x:t>
  </x:si>
  <x:si>
    <x:t xml:space="preserve">负载与治具</x:t>
  </x:si>
  <x:si>
    <x:t xml:space="preserve">安全与工装</x:t>
  </x:si>
  <x:si>
    <x:t xml:space="preserve">扩展仪器</x:t>
  </x:si>
  <x:si>
    <x:t xml:space="preserve">电池与充电</x:t>
  </x:si>
  <x:si>
    <x:t xml:space="preserve">方案预研元件</x:t>
  </x:si>
  <x:si>
    <x:t xml:space="preserve">电极与附件</x:t>
  </x:si>
  <x:si>
    <x:t xml:space="preserve">安规与验证</x:t>
  </x:si>
  <x:si>
    <x:t xml:space="preserve">EMC与可靠性</x:t>
  </x:si>
  <x:si>
    <x:t xml:space="preserve">工艺与返修</x:t>
  </x:si>
  <x:si>
    <x:t xml:space="preserve">采购批次</x:t>
  </x:si>
  <x:si>
    <x:t xml:space="preserve">建议采购批次与审批口径</x:t>
  </x:si>
  <x:si>
    <x:t xml:space="preserve">批次</x:t>
  </x:si>
  <x:si>
    <x:t xml:space="preserve">时间</x:t>
  </x:si>
  <x:si>
    <x:t xml:space="preserve">范围</x:t>
  </x:si>
  <x:si>
    <x:t xml:space="preserve">A：立即采购</x:t>
  </x:si>
  <x:si>
    <x:t xml:space="preserve">W1-W3</x:t>
  </x:si>
  <x:si>
    <x:t xml:space="preserve">开发板、调试器、示波器、差分探头、电源、万用表、负载与安全工装</x:t>
  </x:si>
  <x:si>
    <x:t xml:space="preserve">B：方案冻结前</x:t>
  </x:si>
  <x:si>
    <x:t xml:space="preserve">W4-W8</x:t>
  </x:si>
  <x:si>
    <x:t xml:space="preserve">LCR、热像、电子负载、候选驱动/DAC/隔离件、变压器与电池样品</x:t>
  </x:si>
  <x:si>
    <x:t xml:space="preserve">C：系统验证</x:t>
  </x:si>
  <x:si>
    <x:t xml:space="preserve">W9-W14</x:t>
  </x:si>
  <x:si>
    <x:t xml:space="preserve">医用安规、耐压、EMC、环境、抗扰度资源</x:t>
  </x:si>
  <x:si>
    <x:t xml:space="preserve">低中频治疗仪研发采购申请清单</x:t>
  </x:si>
  <x:si>
    <x:t xml:space="preserve">版本 V1.0｜编制日期 2026-08-02｜研发台架仅用于等效负载测试，禁止在人体上开展未批准的刺激试验</x:t>
  </x:si>
  <x:si>
    <x:t xml:space="preserve">版本 V1.0｜编制日期 2026-08-01｜研发台架仅用于等效负载测试，禁止在人体上开展未批准的刺激试验</x:t>
  </x:si>
  <x:si>
    <x:t xml:space="preserve">序号</x:t>
  </x:si>
  <x:si>
    <x:t xml:space="preserve">优先级</x:t>
  </x:si>
  <x:si>
    <x:t xml:space="preserve">名称</x:t>
  </x:si>
  <x:si>
    <x:t xml:space="preserve">建议型号/规格</x:t>
  </x:si>
  <x:si>
    <x:t xml:space="preserve">数量</x:t>
  </x:si>
  <x:si>
    <x:t xml:space="preserve">单位</x:t>
  </x:si>
  <x:si>
    <x:t xml:space="preserve">采购状态</x:t>
  </x:si>
  <x:si>
    <x:t xml:space="preserve">是否有发票</x:t>
  </x:si>
  <x:si>
    <x:t xml:space="preserve">购买网址</x:t>
  </x:si>
  <x:si>
    <x:t xml:space="preserve">计划到位</x:t>
  </x:si>
  <x:si>
    <x:t xml:space="preserve">购买原因</x:t>
  </x:si>
  <x:si>
    <x:t xml:space="preserve">预算单价(元)</x:t>
  </x:si>
  <x:si>
    <x:t xml:space="preserve">P0</x:t>
  </x:si>
  <x:si>
    <x:t xml:space="preserve">中频控制MCU开发板</x:t>
  </x:si>
  <x:si>
    <x:t xml:space="preserve">MM32F0144C4P核心开发板</x:t>
  </x:si>
  <x:si>
    <x:t xml:space="preserve">块</x:t>
  </x:si>
  <x:si>
    <x:t xml:space="preserve">已购</x:t>
  </x:si>
  <x:si>
    <x:t xml:space="preserve">是</x:t>
  </x:si>
  <x:si>
    <x:t xml:space="preserve">https://item.taobao.com/item.htm?abbucket=15&amp;id=1030312358037&amp;mi_id=0000FITmIfbDlawGZ0akxCMXBfRAwFL2sg5E7z8eTO-W-j8&amp;ns=1&amp;skuId=6212994019523&amp;spm=a21n57.1.hoverItem.6&amp;utparam=%7B%22aplus_abtest%22%3A%22f093e23d4d06ea801a7516749469dd43%22%7D&amp;xxc=taobaoSearch</x:t>
  </x:si>
  <x:si>
    <x:t xml:space="preserve">W1</x:t>
  </x:si>
  <x:si>
    <x:t xml:space="preserve">硬件原理图完成前并行开发4路中频PWM、定时器、ADC与安全状态机</x:t>
  </x:si>
  <x:si>
    <x:t xml:space="preserve">杜邦线</x:t>
  </x:si>
  <x:si>
    <x:t xml:space="preserve">短排线</x:t>
  </x:si>
  <x:si>
    <x:t xml:space="preserve">套</x:t>
  </x:si>
  <x:si>
    <x:t xml:space="preserve">不适用</x:t>
  </x:si>
  <x:si>
    <x:t xml:space="preserve">https://detail.tmall.com/item.htm?id=860219356189&amp;mi_id=0000HeNaBKSHIriP50IW46tl65KT_jHEeMyCfMvjtXlL_Ws&amp;spm=tbpc.boughtlist.suborder_itemtitle.1.79802e8df12L97</x:t>
  </x:si>
  <x:si>
    <x:t xml:space="preserve">适配开发板、首版PCBA和产测接口，降低临时飞线接错风险</x:t>
  </x:si>
  <x:si>
    <x:t xml:space="preserve">无感功率电阻组</x:t>
  </x:si>
  <x:si>
    <x:t xml:space="preserve">30W：500Ω、1kΩ、2kΩ、5kΩ、10kΩ各2只</x:t>
  </x:si>
  <x:si>
    <x:t xml:space="preserve">组</x:t>
  </x:si>
  <x:si>
    <x:t xml:space="preserve">https://detail.tmall.com/item.htm?id=579946690511&amp;mi_id=0000ugaH4JG0CBlnLmq9_iozaWioTZIEcibJaoS5iIk0cr4&amp;spm=tbpc.boughtlist.suborder_itemtitle.1.79802e8df12L97</x:t>
  </x:si>
  <x:si>
    <x:t xml:space="preserve">作为负载盒核心电阻，先开展恒流/恒压和波形测试</x:t>
  </x:si>
  <x:si>
    <x:t xml:space="preserve">人体阻抗等效RC元件包</x:t>
  </x:si>
  <x:si>
    <x:t xml:space="preserve">高压薄膜电容10nF/100nF/1µF（≥250V）+ 500Ω~10kΩ电阻</x:t>
  </x:si>
  <x:si>
    <x:t xml:space="preserve">选型待定</x:t>
  </x:si>
  <x:si>
    <x:t xml:space="preserve">W2</x:t>
  </x:si>
  <x:si>
    <x:t xml:space="preserve">构建皮肤/组织的简化阻抗网络，观察不同频率与脉宽下的输出响应</x:t>
  </x:si>
  <x:si>
    <x:t xml:space="preserve">绝缘测试线套装</x:t>
  </x:si>
  <x:si>
    <x:t xml:space="preserve">4mm安全香蕉线、BNC转香蕉、全包鳄鱼夹、短接线</x:t>
  </x:si>
  <x:si>
    <x:t xml:space="preserve">https://item.taobao.com/item.htm?id=665309197823&amp;mi_id=000036XKSx3O4XBB-Q6sZdjxaxTIJWKsRIQVFBifGIHJIvU&amp;spm=tbpc.boughtlist.suborder_itemtitle.1.79802e8df12L97</x:t>
  </x:si>
  <x:si>
    <x:t xml:space="preserve">安全连接差分探头、采样电阻、负载盒和电源，减少裸露金属</x:t>
  </x:si>
  <x:si>
    <x:t xml:space="preserve">P1</x:t>
  </x:si>
  <x:si>
    <x:t xml:space="preserve">双通道函数/任意波形发生器</x:t>
  </x:si>
  <x:si>
    <x:t xml:space="preserve">台</x:t>
  </x:si>
  <x:si>
    <x:t xml:space="preserve">W3-W4</x:t>
  </x:si>
  <x:si>
    <x:t xml:space="preserve">注入正弦/方波/三角波、扫频和调制信号，验证采样、算法与保护</x:t>
  </x:si>
  <x:si>
    <x:t xml:space="preserve">电池充放电循环测试仪</x:t>
  </x:si>
  <x:si>
    <x:t xml:space="preserve">适配单节锂电；电压/电流记录、容量与循环统计</x:t>
  </x:si>
  <x:si>
    <x:t xml:space="preserve">待申请</x:t>
  </x:si>
  <x:si>
    <x:t xml:space="preserve">https://item.taobao.com/item.htm?id=703733565074</x:t>
  </x:si>
  <x:si>
    <x:t xml:space="preserve">W8-W12</x:t>
  </x:si>
  <x:si>
    <x:t xml:space="preserve">验证12个低频模块续航、容量一致性、过充过放和寿命趋势</x:t>
  </x:si>
</x:sst>
</file>

<file path=xl/styles.xml><?xml version="1.0" encoding="utf-8"?>
<x:styleSheet xmlns:x="http://schemas.openxmlformats.org/spreadsheetml/2006/main">
  <x:numFmts count="2">
    <x:numFmt numFmtId="164" formatCode="\¥#,##0.00;[Red]\-\¥#,##0.00;\-"/>
    <x:numFmt numFmtId="200" formatCode="¥#,##0.00;[Red]-¥#,##0.00;-"/>
  </x:numFmts>
  <x:fonts count="15">
    <x:font>
      <x:sz val="11"/>
      <x:name val="Carlito"/>
    </x:font>
    <x:font>
      <x:sz val="12"/>
      <x:color theme="1"/>
      <x:name val="Calibri"/>
    </x:font>
    <x:font>
      <x:b/>
      <x:sz val="18"/>
      <x:color rgb="FFFFFFFF"/>
      <x:name val="Carlito"/>
    </x:font>
    <x:font>
      <x:sz val="10"/>
      <x:color rgb="FF595959"/>
      <x:name val="Carlito"/>
    </x:font>
    <x:font>
      <x:i/>
      <x:sz val="11"/>
      <x:color rgb="FF595959"/>
      <x:name val="Carlito"/>
    </x:font>
    <x:font>
      <x:sz val="9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6"/>
      <x:color rgb="FF1F4E78"/>
      <x:name val="Carlito"/>
    </x:font>
    <x:font>
      <x:b/>
      <x:sz val="14"/>
      <x:color rgb="FF1F4E78"/>
      <x:name val="Carlito"/>
    </x:font>
    <x:font>
      <x:sz val="11"/>
      <x:color theme="10"/>
      <x:name val="Carlito"/>
    </x:font>
    <x:font>
      <x:sz val="9"/>
      <x:color theme="1"/>
      <x:name val="Carlito"/>
    </x:font>
    <x:font>
      <x:b/>
      <x:sz val="16"/>
      <x:color rgb="FF7F6000"/>
      <x:name val="Carlito"/>
    </x:font>
    <x:font>
      <x:i/>
      <x:sz val="10"/>
      <x:color rgb="FF7F6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9E6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theme="4" tint="0.7999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7">
    <x:border/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B7C9D6"/>
      </x:bottom>
    </x:border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B7C9D6"/>
      </x:right>
      <x:top style="thin">
        <x:color rgb="FFD9E2F3"/>
      </x:top>
    </x:border>
  </x:borders>
  <x:cellStyleXfs count="3">
    <x:xf numFmtId="0" fontId="0" fillId="0" borderId="0"/>
    <x:xf numFmtId="0" fontId="11" fillId="0" borderId="0" applyNumberFormat="0" applyFill="0" applyBorder="0" applyAlignment="0" applyProtection="0"/>
    <x:xf numFmtId="0" fontId="1" fillId="9" borderId="0" applyNumberFormat="0" applyBorder="0" applyAlignment="0" applyProtection="0"/>
  </x:cellStyleXfs>
  <x:cellXfs count="69">
    <x:xf numFmtId="0" fontId="0" fillId="0" borderId="0" xfId="0"/>
    <x:xf numFmtId="0" fontId="5" fillId="0" borderId="5" xfId="0" applyFont="1" applyBorder="1" applyAlignment="1">
      <x:alignment vertical="center" wrapText="1"/>
    </x:xf>
    <x:xf numFmtId="0" fontId="6" fillId="5" borderId="10" xfId="0" applyFont="1" applyFill="1" applyBorder="1" applyAlignment="1">
      <x:alignment horizontal="center" vertical="center" wrapText="1"/>
    </x:xf>
    <x:xf numFmtId="0" fontId="6" fillId="5" borderId="11" xfId="0" applyFont="1" applyFill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164" fontId="5" fillId="4" borderId="5" xfId="0" applyNumberFormat="1" applyFont="1" applyFill="1" applyBorder="1" applyAlignment="1">
      <x:alignment vertical="center" wrapText="1"/>
    </x:xf>
    <x:xf numFmtId="0" fontId="5" fillId="6" borderId="5" xfId="0" applyFont="1" applyFill="1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4" xfId="0" applyBorder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0" fillId="0" borderId="7" xfId="0" applyBorder="1" applyAlignment="1">
      <x:alignment vertical="center" wrapText="1"/>
    </x:xf>
    <x:xf numFmtId="0" fontId="0" fillId="0" borderId="8" xfId="0" applyBorder="1" applyAlignment="1">
      <x:alignment vertical="center" wrapText="1"/>
    </x:xf>
    <x:xf numFmtId="0" fontId="7" fillId="8" borderId="10" xfId="0" applyFont="1" applyFill="1" applyBorder="1" applyAlignment="1">
      <x:alignment horizontal="center" vertical="center" wrapText="1"/>
    </x:xf>
    <x:xf numFmtId="0" fontId="7" fillId="8" borderId="11" xfId="0" applyFont="1" applyFill="1" applyBorder="1" applyAlignment="1">
      <x:alignment horizontal="center" vertical="center" wrapText="1"/>
    </x:xf>
    <x:xf numFmtId="0" fontId="7" fillId="8" borderId="12" xfId="0" applyFont="1" applyFill="1" applyBorder="1" applyAlignment="1">
      <x:alignment horizontal="center" vertical="center" wrapText="1"/>
    </x:xf>
    <x:xf numFmtId="164" fontId="0" fillId="0" borderId="6" xfId="0" applyNumberFormat="1" applyBorder="1" applyAlignment="1">
      <x:alignment horizontal="center" vertical="center" wrapText="1"/>
    </x:xf>
    <x:xf numFmtId="164" fontId="0" fillId="0" borderId="9" xfId="0" applyNumberFormat="1" applyBorder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4" fillId="4" borderId="0" xfId="0" applyFont="1" applyFill="1" applyAlignment="1">
      <x:alignment vertical="center" wrapText="1"/>
    </x:xf>
    <x:xf numFmtId="0" fontId="7" fillId="5" borderId="0" xfId="0" applyFont="1" applyFill="1" applyAlignment="1">
      <x:alignment vertical="center"/>
    </x:xf>
    <x:xf numFmtId="0" fontId="8" fillId="7" borderId="1" xfId="0" applyFont="1" applyFill="1" applyBorder="1" applyAlignment="1">
      <x:alignment horizontal="center" vertical="center" wrapText="1"/>
    </x:xf>
    <x:xf numFmtId="0" fontId="8" fillId="7" borderId="2" xfId="0" applyFont="1" applyFill="1" applyBorder="1" applyAlignment="1">
      <x:alignment horizontal="center" vertical="center" wrapText="1"/>
    </x:xf>
    <x:xf numFmtId="0" fontId="8" fillId="7" borderId="3" xfId="0" applyFont="1" applyFill="1" applyBorder="1" applyAlignment="1">
      <x:alignment horizontal="center" vertical="center" wrapText="1"/>
    </x:xf>
    <x:xf numFmtId="0" fontId="8" fillId="7" borderId="4" xfId="0" applyFont="1" applyFill="1" applyBorder="1" applyAlignment="1">
      <x:alignment horizontal="center" vertical="center" wrapText="1"/>
    </x:xf>
    <x:xf numFmtId="0" fontId="8" fillId="7" borderId="5" xfId="0" applyFont="1" applyFill="1" applyBorder="1" applyAlignment="1">
      <x:alignment horizontal="center" vertical="center" wrapText="1"/>
    </x:xf>
    <x:xf numFmtId="0" fontId="8" fillId="7" borderId="6" xfId="0" applyFont="1" applyFill="1" applyBorder="1" applyAlignment="1">
      <x:alignment horizontal="center" vertical="center" wrapText="1"/>
    </x:xf>
    <x:xf numFmtId="0" fontId="9" fillId="0" borderId="4" xfId="0" applyFont="1" applyBorder="1" applyAlignment="1">
      <x:alignment horizontal="center" vertical="center" wrapText="1"/>
    </x:xf>
    <x:xf numFmtId="0" fontId="9" fillId="0" borderId="5" xfId="0" applyFont="1" applyBorder="1" applyAlignment="1">
      <x:alignment horizontal="center" vertical="center" wrapText="1"/>
    </x:xf>
    <x:xf numFmtId="164" fontId="9" fillId="0" borderId="5" xfId="0" applyNumberFormat="1" applyFont="1" applyBorder="1" applyAlignment="1">
      <x:alignment horizontal="center" vertical="center" wrapText="1"/>
    </x:xf>
    <x:xf numFmtId="0" fontId="9" fillId="0" borderId="6" xfId="0" applyFont="1" applyBorder="1" applyAlignment="1">
      <x:alignment horizontal="center" vertical="center" wrapText="1"/>
    </x:xf>
    <x:xf numFmtId="0" fontId="10" fillId="0" borderId="7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 wrapText="1"/>
    </x:xf>
    <x:xf numFmtId="0" fontId="10" fillId="0" borderId="9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6" borderId="2" xfId="0" applyFont="1" applyFill="1" applyBorder="1" applyAlignment="1">
      <x:alignment horizontal="center" vertical="center" wrapText="1"/>
    </x:xf>
    <x:xf numFmtId="0" fontId="11" fillId="0" borderId="2" xfId="1" applyBorder="1" applyAlignment="1">
      <x:alignment vertical="center" wrapText="1"/>
    </x:xf>
    <x:xf numFmtId="164" fontId="5" fillId="4" borderId="2" xfId="0" applyNumberFormat="1" applyFont="1" applyFill="1" applyBorder="1" applyAlignment="1">
      <x:alignment vertical="center" wrapText="1"/>
    </x:xf>
    <x:xf numFmtId="164" fontId="5" fillId="0" borderId="3" xfId="0" applyNumberFormat="1" applyFont="1" applyBorder="1" applyAlignment="1">
      <x:alignment vertical="center" wrapText="1"/>
    </x:xf>
    <x:xf numFmtId="164" fontId="5" fillId="0" borderId="6" xfId="0" applyNumberFormat="1" applyFont="1" applyBorder="1" applyAlignment="1">
      <x:alignment vertical="center" wrapText="1"/>
    </x:xf>
    <x:xf numFmtId="0" fontId="5" fillId="0" borderId="14" xfId="0" applyFont="1" applyBorder="1" applyAlignment="1">
      <x:alignment horizontal="center" vertical="center" wrapText="1"/>
    </x:xf>
    <x:xf numFmtId="0" fontId="5" fillId="0" borderId="15" xfId="0" applyFont="1" applyBorder="1" applyAlignment="1">
      <x:alignment vertical="center" wrapText="1"/>
    </x:xf>
    <x:xf numFmtId="0" fontId="5" fillId="0" borderId="15" xfId="0" applyFont="1" applyBorder="1" applyAlignment="1">
      <x:alignment horizontal="center" vertical="center" wrapText="1"/>
    </x:xf>
    <x:xf numFmtId="0" fontId="5" fillId="6" borderId="15" xfId="0" applyFont="1" applyFill="1" applyBorder="1" applyAlignment="1">
      <x:alignment horizontal="center" vertical="center" wrapText="1"/>
    </x:xf>
    <x:xf numFmtId="164" fontId="5" fillId="4" borderId="15" xfId="0" applyNumberFormat="1" applyFont="1" applyFill="1" applyBorder="1" applyAlignment="1">
      <x:alignment vertical="center" wrapText="1"/>
    </x:xf>
    <x:xf numFmtId="164" fontId="5" fillId="0" borderId="16" xfId="0" applyNumberFormat="1" applyFont="1" applyBorder="1" applyAlignment="1">
      <x:alignment vertical="center" wrapText="1"/>
    </x:xf>
    <x:xf numFmtId="0" fontId="12" fillId="9" borderId="13" xfId="2" applyFont="1" applyBorder="1" applyAlignment="1">
      <x:alignment horizontal="center" vertical="center" wrapText="1"/>
    </x:xf>
    <x:xf numFmtId="0" fontId="12" fillId="9" borderId="13" xfId="2" applyFont="1" applyBorder="1" applyAlignment="1">
      <x:alignment vertical="center" wrapText="1"/>
    </x:xf>
    <x:xf numFmtId="0" fontId="11" fillId="9" borderId="13" xfId="1" applyFill="1" applyBorder="1" applyAlignment="1">
      <x:alignment vertical="center" wrapText="1"/>
    </x:xf>
    <x:xf numFmtId="164" fontId="12" fillId="9" borderId="13" xfId="2" applyNumberFormat="1" applyFont="1" applyBorder="1" applyAlignment="1">
      <x:alignment vertical="center" wrapText="1"/>
    </x:xf>
    <x:xf numFmtId="200" fontId="9" fillId="0" borderId="5" xfId="0" applyNumberFormat="1" applyFont="1" applyFill="1" applyBorder="1" applyAlignment="1">
      <x:alignment horizontal="center" vertical="center" wrapText="1"/>
    </x:xf>
    <x:xf numFmtId="0" fontId="10" fillId="10" borderId="7" xfId="0" applyNumberFormat="1" applyFont="1" applyFill="1" applyBorder="1" applyAlignment="1">
      <x:alignment horizontal="center" vertical="center" wrapText="1"/>
    </x:xf>
    <x:xf numFmtId="0" fontId="10" fillId="10" borderId="8" xfId="0" applyNumberFormat="1" applyFont="1" applyFill="1" applyBorder="1" applyAlignment="1">
      <x:alignment horizontal="center" vertical="center" wrapText="1"/>
    </x:xf>
    <x:xf numFmtId="0" fontId="13" fillId="10" borderId="7" xfId="0" applyNumberFormat="1" applyFont="1" applyFill="1" applyBorder="1" applyAlignment="1">
      <x:alignment horizontal="center" vertical="center" wrapText="1"/>
    </x:xf>
    <x:xf numFmtId="0" fontId="13" fillId="10" borderId="8" xfId="0" applyNumberFormat="1" applyFont="1" applyFill="1" applyBorder="1" applyAlignment="1">
      <x:alignment horizontal="center" vertical="center" wrapText="1"/>
    </x:xf>
    <x:xf numFmtId="0" fontId="13" fillId="10" borderId="13" xfId="0" applyNumberFormat="1" applyFont="1" applyFill="1" applyBorder="1" applyAlignment="1">
      <x:alignment horizontal="center" vertical="center" wrapText="1"/>
    </x:xf>
    <x:xf numFmtId="200" fontId="13" fillId="10" borderId="13" xfId="0" applyNumberFormat="1" applyFont="1" applyFill="1" applyBorder="1" applyAlignment="1">
      <x:alignment horizontal="center" vertical="center" wrapText="1"/>
    </x:xf>
    <x:xf numFmtId="200" fontId="10" fillId="0" borderId="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200" fontId="13" fillId="12" borderId="13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horizontal="center" vertical="center" wrapText="1"/>
    </x:xf>
  </x:cellXfs>
  <x:cellStyles count="3">
    <x:cellStyle name="20% - Accent1" xfId="2"/>
    <x:cellStyle name="Hyperlink" xfId="1"/>
    <x:cellStyle name="Normal" xfId="0"/>
  </x:cellStyles>
  <x:dxfs count="24">
    <x:dxf>
      <x:border>
        <x:left style="thin">
          <x:color rgb="FFD9E2F3"/>
        </x:left>
        <x:right style="thin">
          <x:color rgb="FFB7C9D6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D9E2F3"/>
        </x:left>
        <x:right style="thin">
          <x:color rgb="FFD9E2F3"/>
        </x:right>
      </x:border>
    </x:dxf>
    <x:dxf>
      <x:border>
        <x:left style="thin">
          <x:color rgb="FFB7C9D6"/>
        </x:left>
        <x:right style="thin">
          <x:color rgb="FFD9E2F3"/>
        </x:right>
      </x:border>
    </x:dxf>
    <x:dxf>
      <x:font>
        <x:color rgb="FF9C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647c22a684376" /><Relationship Type="http://schemas.openxmlformats.org/officeDocument/2006/relationships/theme" Target="/xl/theme/theme1.xml" Id="Rec43de1f46d848fb" /><Relationship Type="http://schemas.openxmlformats.org/officeDocument/2006/relationships/sharedStrings" Target="/xl/sharedStrings.xml" Id="R391c9c1910234071" /><Relationship Type="http://schemas.openxmlformats.org/officeDocument/2006/relationships/worksheet" Target="/xl/worksheets/sheet1.xml" Id="R924dab2c819b47ec" /><Relationship Type="http://schemas.openxmlformats.org/officeDocument/2006/relationships/worksheet" Target="/xl/worksheets/sheet2.xml" Id="Rf61f18080acc43d2" /></Relationships>
</file>

<file path=xl/tables/table1.xml><?xml version="1.0" encoding="utf-8"?>
<x:table xmlns:x="http://schemas.openxmlformats.org/spreadsheetml/2006/main" id="1" name="StimPurchaseTable" displayName="StimPurchaseTable" ref="A5:N14" headerRowCount="1" totalsRowCount="0" totalsRowShown="0">
  <x:autoFilter ref="A5:N14"/>
  <x:tableColumns count="14">
    <x:tableColumn id="1" name="序号"/>
    <x:tableColumn id="2" name="类别"/>
    <x:tableColumn id="3" name="优先级"/>
    <x:tableColumn id="4" name="名称"/>
    <x:tableColumn id="5" name="建议型号/规格"/>
    <x:tableColumn id="6" name="数量"/>
    <x:tableColumn id="7" name="单位"/>
    <x:tableColumn id="8" name="采购状态"/>
    <x:tableColumn id="9" name="是否有发票"/>
    <x:tableColumn id="10" name="购买网址"/>
    <x:tableColumn id="11" name="计划到位"/>
    <x:tableColumn id="12" name="购买原因"/>
    <x:tableColumn id="13" name="预算单价(元)"/>
    <x:tableColumn id="14" name="预算小计(元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9a6bbc2d4047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4" customWidth="1"/>
    <x:col min="2" max="2" width="12" customWidth="1"/>
    <x:col min="3" max="3" width="34" customWidth="1"/>
    <x:col min="4" max="5" width="28" customWidth="1"/>
    <x:col min="6" max="6" width="32" customWidth="1"/>
    <x:col min="7" max="7" width="16" customWidth="1"/>
    <x:col min="8" max="8" width="14" customWidth="1"/>
  </x:cols>
  <x:sheetData>
    <x:row r="1" ht="34" customHeight="1">
      <x:c r="A1" s="19" t="s">
        <x:v>0</x:v>
      </x:c>
      <x:c r="B1" s="19" t="s">
        <x:v>0</x:v>
      </x:c>
      <x:c r="C1" s="19" t="s">
        <x:v>0</x:v>
      </x:c>
      <x:c r="D1" s="19" t="s">
        <x:v>0</x:v>
      </x:c>
      <x:c r="E1" s="19" t="s">
        <x:v>0</x:v>
      </x:c>
      <x:c r="F1" s="19" t="s">
        <x:v>0</x:v>
      </x:c>
      <x:c r="G1" s="19" t="s">
        <x:v>0</x:v>
      </x:c>
      <x:c r="H1" s="19" t="s">
        <x:v>0</x:v>
      </x:c>
    </x:row>
    <x:row r="2" ht="24" customHeight="1">
      <x:c r="A2" s="20" t="s">
        <x:v>1</x:v>
      </x:c>
      <x:c r="B2" s="20" t="s">
        <x:v>1</x:v>
      </x:c>
      <x:c r="C2" s="20" t="s">
        <x:v>1</x:v>
      </x:c>
      <x:c r="D2" s="20" t="s">
        <x:v>1</x:v>
      </x:c>
      <x:c r="E2" s="20" t="s">
        <x:v>1</x:v>
      </x:c>
      <x:c r="F2" s="20" t="s">
        <x:v>1</x:v>
      </x:c>
      <x:c r="G2" s="20" t="s">
        <x:v>1</x:v>
      </x:c>
      <x:c r="H2" s="20" t="s">
        <x:v>1</x:v>
      </x:c>
    </x:row>
    <x:row r="3" ht="24" customHeight="1">
      <x:c r="A3" s="22" t="s">
        <x:v>2</x:v>
      </x:c>
      <x:c r="B3" s="22" t="s">
        <x:v>2</x:v>
      </x:c>
      <x:c r="C3" s="22" t="s">
        <x:v>2</x:v>
      </x:c>
      <x:c r="D3" s="22" t="s">
        <x:v>2</x:v>
      </x:c>
      <x:c r="E3" s="22" t="s">
        <x:v>2</x:v>
      </x:c>
      <x:c r="F3" s="22" t="s">
        <x:v>2</x:v>
      </x:c>
      <x:c r="G3" s="22" t="s">
        <x:v>2</x:v>
      </x:c>
      <x:c r="H3" s="22" t="s">
        <x:v>2</x:v>
      </x:c>
    </x:row>
    <x:row r="4" ht="28" customHeight="1">
      <x:c r="A4" s="23" t="str">
        <x:v>已登记条目</x:v>
      </x:c>
      <x:c r="B4" s="24"/>
      <x:c r="C4" s="24" t="str">
        <x:v>数量合计</x:v>
      </x:c>
      <x:c r="D4" s="24"/>
      <x:c r="E4" s="24" t="str">
        <x:v>累计支出</x:v>
      </x:c>
      <x:c r="F4" s="24"/>
      <x:c r="G4" s="24" t="str">
        <x:v>已购条目</x:v>
      </x:c>
      <x:c r="H4" s="25"/>
    </x:row>
    <x:row r="5" ht="28" customHeight="1">
      <x:c r="A5" s="29" t="n">
        <x:f>COUNTIF('采购清单'!$D$6:$D$205,"&lt;&gt;")</x:f>
        <x:v>9</x:v>
      </x:c>
      <x:c r="B5" s="30"/>
      <x:c r="C5" s="30" t="n">
        <x:f>SUM('采购清单'!$F$6:$F$205)</x:f>
        <x:v>10</x:v>
      </x:c>
      <x:c r="D5" s="30"/>
      <x:c r="E5" s="54" t="n">
        <x:f>ROUND(SUM('采购清单'!$N$6:$N$205),2)</x:f>
        <x:v>3230.28</x:v>
      </x:c>
      <x:c r="F5" s="54"/>
      <x:c r="G5" s="30" t="n">
        <x:f>COUNTIF('采购清单'!$H$6:$H$205,"已购")</x:f>
        <x:v>4</x:v>
      </x:c>
      <x:c r="H5" s="32"/>
    </x:row>
    <x:row r="6" ht="28" customHeight="1">
      <x:c r="A6" s="26" t="str">
        <x:v>备用金（可编辑）</x:v>
      </x:c>
      <x:c r="B6" s="27"/>
      <x:c r="C6" s="27" t="str">
        <x:v>剩余金额</x:v>
      </x:c>
      <x:c r="D6" s="27"/>
      <x:c r="E6" s="27" t="str">
        <x:v>有发票条目</x:v>
      </x:c>
      <x:c r="F6" s="27"/>
      <x:c r="G6" s="27" t="str">
        <x:v>无/不适用发票</x:v>
      </x:c>
      <x:c r="H6" s="28"/>
    </x:row>
    <x:row r="7" ht="28" customHeight="1">
      <x:c r="A7" s="67"/>
      <x:c r="B7" s="67"/>
      <x:c r="C7" s="61" t="str">
        <x:f>IF(A7="","",ROUND(A7-E5,2))</x:f>
      </x:c>
      <x:c r="D7" s="61"/>
      <x:c r="E7" s="34" t="n">
        <x:f>COUNTIF('采购清单'!$I$6:$I$205,"是")</x:f>
        <x:v>8</x:v>
      </x:c>
      <x:c r="F7" s="34"/>
      <x:c r="G7" s="34" t="n">
        <x:f>COUNTIF('采购清单'!$I$6:$I$205,"否")+COUNTIF('采购清单'!$I$6:$I$205,"不适用")</x:f>
        <x:v>1</x:v>
      </x:c>
      <x:c r="H7" s="35"/>
    </x:row>
    <x:row r="8" ht="30" customHeight="1">
      <x:c r="A8" s="68" t="str">
        <x:v>黄色单元格填写备用金；剩余金额＝备用金－累计支出。后续直接在“采购清单”表格末行下方新增记录，总览已预留统计到第205行。</x:v>
      </x:c>
      <x:c r="B8" s="68" t="str">
        <x:v>黄色单元格填写备用金；剩余金额＝备用金－累计支出。后续直接在“采购清单”表格末行下方新增记录，总览已预留统计到第205行。</x:v>
      </x:c>
      <x:c r="C8" s="68" t="str">
        <x:v>黄色单元格填写备用金；剩余金额＝备用金－累计支出。后续直接在“采购清单”表格末行下方新增记录，总览已预留统计到第205行。</x:v>
      </x:c>
      <x:c r="D8" s="68" t="str">
        <x:v>黄色单元格填写备用金；剩余金额＝备用金－累计支出。后续直接在“采购清单”表格末行下方新增记录，总览已预留统计到第205行。</x:v>
      </x:c>
      <x:c r="E8" s="68" t="str">
        <x:v>黄色单元格填写备用金；剩余金额＝备用金－累计支出。后续直接在“采购清单”表格末行下方新增记录，总览已预留统计到第205行。</x:v>
      </x:c>
      <x:c r="F8" s="68" t="str">
        <x:v>黄色单元格填写备用金；剩余金额＝备用金－累计支出。后续直接在“采购清单”表格末行下方新增记录，总览已预留统计到第205行。</x:v>
      </x:c>
      <x:c r="G8" s="68" t="str">
        <x:v>黄色单元格填写备用金；剩余金额＝备用金－累计支出。后续直接在“采购清单”表格末行下方新增记录，总览已预留统计到第205行。</x:v>
      </x:c>
      <x:c r="H8" s="68" t="str">
        <x:v>黄色单元格填写备用金；剩余金额＝备用金－累计支出。后续直接在“采购清单”表格末行下方新增记录，总览已预留统计到第205行。</x:v>
      </x:c>
    </x:row>
    <x:row r="9" ht="24" customHeight="1">
      <x:c r="A9" s="22" t="s">
        <x:v>3</x:v>
      </x:c>
      <x:c r="B9" s="22" t="s">
        <x:v>3</x:v>
      </x:c>
      <x:c r="C9" s="22" t="s">
        <x:v>3</x:v>
      </x:c>
      <x:c r="D9" s="22" t="s">
        <x:v>3</x:v>
      </x:c>
      <x:c r="E9" s="22" t="s">
        <x:v>3</x:v>
      </x:c>
      <x:c r="F9" s="22" t="s">
        <x:v>3</x:v>
      </x:c>
      <x:c r="G9" s="22" t="s">
        <x:v>3</x:v>
      </x:c>
      <x:c r="H9" s="22" t="s">
        <x:v>3</x:v>
      </x:c>
    </x:row>
    <x:row r="10" ht="16">
      <x:c r="A10" s="14" t="s">
        <x:v>4</x:v>
      </x:c>
      <x:c r="B10" s="15" t="s">
        <x:v>5</x:v>
      </x:c>
      <x:c r="C10" s="15" t="s">
        <x:v>6</x:v>
      </x:c>
      <x:c r="D10" s="16" t="s">
        <x:v>7</x:v>
      </x:c>
    </x:row>
    <x:row r="11" ht="15">
      <x:c r="A11" s="10" t="s">
        <x:v>8</x:v>
      </x:c>
      <x:c r="B11" s="8" t="n">
        <x:f>COUNTIF('采购清单'!$B$6:$B$205,A11)</x:f>
        <x:v>3</x:v>
      </x:c>
      <x:c r="C11" s="8" t="n">
        <x:f>SUMIF('采购清单'!$B$6:$B$205,A11,'采购清单'!$F$6:$F$205)</x:f>
        <x:v>3</x:v>
      </x:c>
      <x:c r="D11" s="17" t="n">
        <x:f>ROUND(SUMIF('采购清单'!$B$6:$B$205,A11,'采购清单'!$N$6:$N$205),2)</x:f>
        <x:v>1828.28</x:v>
      </x:c>
    </x:row>
    <x:row r="12" ht="15">
      <x:c r="A12" s="10" t="s">
        <x:v>9</x:v>
      </x:c>
      <x:c r="B12" s="8" t="n">
        <x:f>COUNTIF('采购清单'!$B$6:$B$205,A12)</x:f>
        <x:v>0</x:v>
      </x:c>
      <x:c r="C12" s="8" t="n">
        <x:f>SUMIF('采购清单'!$B$6:$B$205,A12,'采购清单'!$F$6:$F$205)</x:f>
        <x:v>0</x:v>
      </x:c>
      <x:c r="D12" s="17" t="n">
        <x:f>ROUND(SUMIF('采购清单'!$B$6:$B$205,A12,'采购清单'!$N$6:$N$205),2)</x:f>
        <x:v>0</x:v>
      </x:c>
    </x:row>
    <x:row r="13" ht="15">
      <x:c r="A13" s="10" t="s">
        <x:v>10</x:v>
      </x:c>
      <x:c r="B13" s="8" t="n">
        <x:f>COUNTIF('采购清单'!$B$6:$B$205,A13)</x:f>
        <x:v>0</x:v>
      </x:c>
      <x:c r="C13" s="8" t="n">
        <x:f>SUMIF('采购清单'!$B$6:$B$205,A13,'采购清单'!$F$6:$F$205)</x:f>
        <x:v>0</x:v>
      </x:c>
      <x:c r="D13" s="17" t="n">
        <x:f>ROUND(SUMIF('采购清单'!$B$6:$B$205,A13,'采购清单'!$N$6:$N$205),2)</x:f>
        <x:v>0</x:v>
      </x:c>
    </x:row>
    <x:row r="14" ht="15">
      <x:c r="A14" s="10" t="s">
        <x:v>11</x:v>
      </x:c>
      <x:c r="B14" s="8" t="n">
        <x:f>COUNTIF('采购清单'!$B$6:$B$205,A14)</x:f>
        <x:v>0</x:v>
      </x:c>
      <x:c r="C14" s="8" t="n">
        <x:f>SUMIF('采购清单'!$B$6:$B$205,A14,'采购清单'!$F$6:$F$205)</x:f>
        <x:v>0</x:v>
      </x:c>
      <x:c r="D14" s="17" t="n">
        <x:f>ROUND(SUMIF('采购清单'!$B$6:$B$205,A14,'采购清单'!$N$6:$N$205),2)</x:f>
        <x:v>0</x:v>
      </x:c>
    </x:row>
    <x:row r="15" ht="15">
      <x:c r="A15" s="10" t="s">
        <x:v>12</x:v>
      </x:c>
      <x:c r="B15" s="8" t="n">
        <x:f>COUNTIF('采购清单'!$B$6:$B$205,A15)</x:f>
        <x:v>3</x:v>
      </x:c>
      <x:c r="C15" s="8" t="n">
        <x:f>SUMIF('采购清单'!$B$6:$B$205,A15,'采购清单'!$F$6:$F$205)</x:f>
        <x:v>4</x:v>
      </x:c>
      <x:c r="D15" s="17" t="n">
        <x:f>ROUND(SUMIF('采购清单'!$B$6:$B$205,A15,'采购清单'!$N$6:$N$205),2)</x:f>
        <x:v>76.2</x:v>
      </x:c>
    </x:row>
    <x:row r="16" ht="15">
      <x:c r="A16" s="10" t="s">
        <x:v>13</x:v>
      </x:c>
      <x:c r="B16" s="8" t="n">
        <x:f>COUNTIF('采购清单'!$B$6:$B$205,A16)</x:f>
        <x:v>0</x:v>
      </x:c>
      <x:c r="C16" s="8" t="n">
        <x:f>SUMIF('采购清单'!$B$6:$B$205,A16,'采购清单'!$F$6:$F$205)</x:f>
        <x:v>0</x:v>
      </x:c>
      <x:c r="D16" s="17" t="n">
        <x:f>ROUND(SUMIF('采购清单'!$B$6:$B$205,A16,'采购清单'!$N$6:$N$205),2)</x:f>
        <x:v>0</x:v>
      </x:c>
    </x:row>
    <x:row r="17" ht="15">
      <x:c r="A17" s="10" t="s">
        <x:v>14</x:v>
      </x:c>
      <x:c r="B17" s="8" t="n">
        <x:f>COUNTIF('采购清单'!$B$6:$B$205,A17)</x:f>
        <x:v>2</x:v>
      </x:c>
      <x:c r="C17" s="8" t="n">
        <x:f>SUMIF('采购清单'!$B$6:$B$205,A17,'采购清单'!$F$6:$F$205)</x:f>
        <x:v>2</x:v>
      </x:c>
      <x:c r="D17" s="17" t="n">
        <x:f>ROUND(SUMIF('采购清单'!$B$6:$B$205,A17,'采购清单'!$N$6:$N$205),2)</x:f>
        <x:v>1325.8</x:v>
      </x:c>
    </x:row>
    <x:row r="18" ht="15">
      <x:c r="A18" s="10" t="s">
        <x:v>15</x:v>
      </x:c>
      <x:c r="B18" s="8" t="n">
        <x:f>COUNTIF('采购清单'!$B$6:$B$205,A18)</x:f>
        <x:v>1</x:v>
      </x:c>
      <x:c r="C18" s="8" t="n">
        <x:f>SUMIF('采购清单'!$B$6:$B$205,A18,'采购清单'!$F$6:$F$205)</x:f>
        <x:v>1</x:v>
      </x:c>
      <x:c r="D18" s="17" t="n">
        <x:f>ROUND(SUMIF('采购清单'!$B$6:$B$205,A18,'采购清单'!$N$6:$N$205),2)</x:f>
        <x:v>0</x:v>
      </x:c>
    </x:row>
    <x:row r="19" ht="15">
      <x:c r="A19" s="10" t="s">
        <x:v>16</x:v>
      </x:c>
      <x:c r="B19" s="8" t="n">
        <x:f>COUNTIF('采购清单'!$B$6:$B$205,A19)</x:f>
        <x:v>0</x:v>
      </x:c>
      <x:c r="C19" s="8" t="n">
        <x:f>SUMIF('采购清单'!$B$6:$B$205,A19,'采购清单'!$F$6:$F$205)</x:f>
        <x:v>0</x:v>
      </x:c>
      <x:c r="D19" s="17" t="n">
        <x:f>ROUND(SUMIF('采购清单'!$B$6:$B$205,A19,'采购清单'!$N$6:$N$205),2)</x:f>
        <x:v>0</x:v>
      </x:c>
    </x:row>
    <x:row r="20" ht="15">
      <x:c r="A20" s="10" t="s">
        <x:v>17</x:v>
      </x:c>
      <x:c r="B20" s="8" t="n">
        <x:f>COUNTIF('采购清单'!$B$6:$B$205,A20)</x:f>
        <x:v>0</x:v>
      </x:c>
      <x:c r="C20" s="8" t="n">
        <x:f>SUMIF('采购清单'!$B$6:$B$205,A20,'采购清单'!$F$6:$F$205)</x:f>
        <x:v>0</x:v>
      </x:c>
      <x:c r="D20" s="17" t="n">
        <x:f>ROUND(SUMIF('采购清单'!$B$6:$B$205,A20,'采购清单'!$N$6:$N$205),2)</x:f>
        <x:v>0</x:v>
      </x:c>
    </x:row>
    <x:row r="21" ht="15">
      <x:c r="A21" s="10" t="s">
        <x:v>18</x:v>
      </x:c>
      <x:c r="B21" s="8" t="n">
        <x:f>COUNTIF('采购清单'!$B$6:$B$205,A21)</x:f>
        <x:v>0</x:v>
      </x:c>
      <x:c r="C21" s="8" t="n">
        <x:f>SUMIF('采购清单'!$B$6:$B$205,A21,'采购清单'!$F$6:$F$205)</x:f>
        <x:v>0</x:v>
      </x:c>
      <x:c r="D21" s="17" t="n">
        <x:f>ROUND(SUMIF('采购清单'!$B$6:$B$205,A21,'采购清单'!$N$6:$N$205),2)</x:f>
        <x:v>0</x:v>
      </x:c>
    </x:row>
    <x:row r="22" ht="15">
      <x:c r="A22" s="10" t="s">
        <x:v>19</x:v>
      </x:c>
      <x:c r="B22" s="8" t="n">
        <x:f>COUNTIF('采购清单'!$B$6:$B$205,A22)</x:f>
        <x:v>0</x:v>
      </x:c>
      <x:c r="C22" s="8" t="n">
        <x:f>SUMIF('采购清单'!$B$6:$B$205,A22,'采购清单'!$F$6:$F$205)</x:f>
        <x:v>0</x:v>
      </x:c>
      <x:c r="D22" s="17" t="n">
        <x:f>ROUND(SUMIF('采购清单'!$B$6:$B$205,A22,'采购清单'!$N$6:$N$205),2)</x:f>
        <x:v>0</x:v>
      </x:c>
    </x:row>
    <x:row r="23" ht="15">
      <x:c r="A23" s="12" t="s">
        <x:v>20</x:v>
      </x:c>
      <x:c r="B23" s="9" t="n">
        <x:f>COUNTIF('采购清单'!$B$6:$B$205,A23)</x:f>
        <x:v>0</x:v>
      </x:c>
      <x:c r="C23" s="9" t="n">
        <x:f>SUMIF('采购清单'!$B$6:$B$205,A23,'采购清单'!$F$6:$F$205)</x:f>
        <x:v>0</x:v>
      </x:c>
      <x:c r="D23" s="18" t="n">
        <x:f>ROUND(SUMIF('采购清单'!$B$6:$B$205,A23,'采购清单'!$N$6:$N$205),2)</x:f>
        <x:v>0</x:v>
      </x:c>
    </x:row>
    <x:row r="25" ht="24" customHeight="1">
      <x:c r="A25" s="22" t="s">
        <x:v>21</x:v>
      </x:c>
      <x:c r="B25" s="22" t="s">
        <x:v>22</x:v>
      </x:c>
      <x:c r="C25" s="22" t="s">
        <x:v>22</x:v>
      </x:c>
      <x:c r="D25" s="22" t="s">
        <x:v>22</x:v>
      </x:c>
      <x:c r="E25" s="22" t="s">
        <x:v>22</x:v>
      </x:c>
      <x:c r="F25" s="22" t="s">
        <x:v>22</x:v>
      </x:c>
      <x:c r="G25" s="22" t="s">
        <x:v>22</x:v>
      </x:c>
      <x:c r="H25" s="22" t="s">
        <x:v>22</x:v>
      </x:c>
    </x:row>
    <x:row r="26" ht="16">
      <x:c r="A26" s="14" t="s">
        <x:v>23</x:v>
      </x:c>
      <x:c r="B26" s="15" t="s">
        <x:v>24</x:v>
      </x:c>
      <x:c r="C26" s="15" t="s">
        <x:v>25</x:v>
      </x:c>
    </x:row>
    <x:row r="27" ht="58" customHeight="1">
      <x:c r="A27" s="10" t="s">
        <x:v>26</x:v>
      </x:c>
      <x:c r="B27" s="11" t="s">
        <x:v>27</x:v>
      </x:c>
      <x:c r="C27" s="11" t="s">
        <x:v>28</x:v>
      </x:c>
    </x:row>
    <x:row r="28" ht="58" customHeight="1">
      <x:c r="A28" s="10" t="s">
        <x:v>29</x:v>
      </x:c>
      <x:c r="B28" s="11" t="s">
        <x:v>30</x:v>
      </x:c>
      <x:c r="C28" s="11" t="s">
        <x:v>31</x:v>
      </x:c>
    </x:row>
    <x:row r="29" ht="58" customHeight="1">
      <x:c r="A29" s="12" t="s">
        <x:v>32</x:v>
      </x:c>
      <x:c r="B29" s="13" t="s">
        <x:v>33</x:v>
      </x:c>
      <x:c r="C29" s="13" t="s">
        <x:v>34</x:v>
      </x:c>
    </x:row>
  </x:sheetData>
  <x:mergeCells>
    <x:mergeCell ref="A25:H25"/>
    <x:mergeCell ref="A7:B7"/>
    <x:mergeCell ref="C7:D7"/>
    <x:mergeCell ref="E7:F7"/>
    <x:mergeCell ref="G7:H7"/>
    <x:mergeCell ref="A9:H9"/>
    <x:mergeCell ref="A6:B6"/>
    <x:mergeCell ref="C6:D6"/>
    <x:mergeCell ref="E6:F6"/>
    <x:mergeCell ref="G6:H6"/>
    <x:mergeCell ref="A5:B5"/>
    <x:mergeCell ref="C5:D5"/>
    <x:mergeCell ref="E5:F5"/>
    <x:mergeCell ref="G5:H5"/>
    <x:mergeCell ref="A1:H1"/>
    <x:mergeCell ref="A2:H2"/>
    <x:mergeCell ref="A3:H3"/>
    <x:mergeCell ref="A4:B4"/>
    <x:mergeCell ref="C4:D4"/>
    <x:mergeCell ref="E4:F4"/>
    <x:mergeCell ref="G4:H4"/>
    <x:mergeCell ref="A8:H8"/>
  </x:mergeCells>
  <x:conditionalFormatting sqref="C7:D7">
    <x:cfRule type="cellIs" dxfId="22" priority="1" operator="lessThan">
      <x:formula>0</x:formula>
    </x:cfRule>
    <x:cfRule type="cellIs" dxfId="23" priority="2" operator="greaterThanOrEqual">
      <x:formula>0</x:formula>
    </x:cfRule>
  </x:conditionalFormatting>
  <x:dataValidations count="1">
    <x:dataValidation type="decimal" operator="greaterThanOrEqual" sqref="A7: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7" customWidth="1"/>
    <x:col min="2" max="2" width="13" customWidth="1"/>
    <x:col min="3" max="3" width="9" customWidth="1"/>
    <x:col min="4" max="4" width="24" customWidth="1"/>
    <x:col min="5" max="5" width="34" customWidth="1"/>
    <x:col min="6" max="6" width="8" customWidth="1"/>
    <x:col min="7" max="7" width="10" customWidth="1"/>
    <x:col min="8" max="8" width="13" customWidth="1"/>
    <x:col min="9" max="9" width="12" customWidth="1"/>
    <x:col min="10" max="10" width="44" customWidth="1"/>
    <x:col min="11" max="11" width="12" customWidth="1"/>
    <x:col min="12" max="12" width="38" customWidth="1"/>
    <x:col min="13" max="13" width="15" customWidth="1"/>
    <x:col min="14" max="14" width="16" customWidth="1"/>
  </x:cols>
  <x:sheetData>
    <x:row r="1" ht="34" customHeight="1">
      <x:c r="A1" s="19" t="s">
        <x:v>35</x:v>
      </x:c>
      <x:c r="B1" s="19" t="s">
        <x:v>35</x:v>
      </x:c>
      <x:c r="C1" s="19" t="s">
        <x:v>35</x:v>
      </x:c>
      <x:c r="D1" s="19" t="s">
        <x:v>35</x:v>
      </x:c>
      <x:c r="E1" s="19" t="s">
        <x:v>35</x:v>
      </x:c>
      <x:c r="F1" s="19" t="s">
        <x:v>35</x:v>
      </x:c>
      <x:c r="G1" s="19" t="s">
        <x:v>35</x:v>
      </x:c>
      <x:c r="H1" s="19" t="s">
        <x:v>35</x:v>
      </x:c>
      <x:c r="I1" s="19" t="s">
        <x:v>35</x:v>
      </x:c>
      <x:c r="J1" s="19" t="s">
        <x:v>35</x:v>
      </x:c>
      <x:c r="K1" s="19" t="s">
        <x:v>35</x:v>
      </x:c>
      <x:c r="L1" s="19" t="s">
        <x:v>35</x:v>
      </x:c>
      <x:c r="M1" s="19" t="s">
        <x:v>35</x:v>
      </x:c>
      <x:c r="N1" s="19" t="s">
        <x:v>35</x:v>
      </x:c>
    </x:row>
    <x:row r="2" ht="24" customHeight="1">
      <x:c r="A2" s="20" t="s">
        <x:v>36</x:v>
      </x:c>
      <x:c r="B2" s="20" t="s">
        <x:v>37</x:v>
      </x:c>
      <x:c r="C2" s="20" t="s">
        <x:v>37</x:v>
      </x:c>
      <x:c r="D2" s="20" t="s">
        <x:v>37</x:v>
      </x:c>
      <x:c r="E2" s="20" t="s">
        <x:v>37</x:v>
      </x:c>
      <x:c r="F2" s="20" t="s">
        <x:v>37</x:v>
      </x:c>
      <x:c r="G2" s="20" t="s">
        <x:v>37</x:v>
      </x:c>
      <x:c r="H2" s="20" t="s">
        <x:v>37</x:v>
      </x:c>
      <x:c r="I2" s="20" t="s">
        <x:v>37</x:v>
      </x:c>
      <x:c r="J2" s="20" t="s">
        <x:v>37</x:v>
      </x:c>
      <x:c r="K2" s="20" t="s">
        <x:v>37</x:v>
      </x:c>
      <x:c r="L2" s="20" t="s">
        <x:v>37</x:v>
      </x:c>
      <x:c r="M2" s="20" t="s">
        <x:v>37</x:v>
      </x:c>
      <x:c r="N2" s="20" t="s">
        <x:v>37</x:v>
      </x:c>
    </x:row>
    <x:row r="3" ht="36" customHeight="1">
      <x:c r="A3" s="21" t="str">
        <x:v>填写说明：购买后在表格最后一行的下一行新增记录；预算小计=数量×单价，并自动计入总览。P0=立即到位，P1=原型/样机阶段，P2=优先共享、租赁或外协。</x:v>
      </x:c>
      <x:c r="B3" s="21" t="str">
        <x:v>填写说明：购买后在表格最后一行的下一行新增记录；预算小计=数量×单价，并自动计入总览。P0=立即到位，P1=原型/样机阶段，P2=优先共享、租赁或外协。</x:v>
      </x:c>
      <x:c r="C3" s="21" t="str">
        <x:v>填写说明：购买后在表格最后一行的下一行新增记录；预算小计=数量×单价，并自动计入总览。P0=立即到位，P1=原型/样机阶段，P2=优先共享、租赁或外协。</x:v>
      </x:c>
      <x:c r="D3" s="21" t="str">
        <x:v>填写说明：购买后在表格最后一行的下一行新增记录；预算小计=数量×单价，并自动计入总览。P0=立即到位，P1=原型/样机阶段，P2=优先共享、租赁或外协。</x:v>
      </x:c>
      <x:c r="E3" s="21" t="str">
        <x:v>填写说明：购买后在表格最后一行的下一行新增记录；预算小计=数量×单价，并自动计入总览。P0=立即到位，P1=原型/样机阶段，P2=优先共享、租赁或外协。</x:v>
      </x:c>
      <x:c r="F3" s="21" t="str">
        <x:v>填写说明：购买后在表格最后一行的下一行新增记录；预算小计=数量×单价，并自动计入总览。P0=立即到位，P1=原型/样机阶段，P2=优先共享、租赁或外协。</x:v>
      </x:c>
      <x:c r="G3" s="21" t="str">
        <x:v>填写说明：购买后在表格最后一行的下一行新增记录；预算小计=数量×单价，并自动计入总览。P0=立即到位，P1=原型/样机阶段，P2=优先共享、租赁或外协。</x:v>
      </x:c>
      <x:c r="H3" s="21" t="str">
        <x:v>填写说明：购买后在表格最后一行的下一行新增记录；预算小计=数量×单价，并自动计入总览。P0=立即到位，P1=原型/样机阶段，P2=优先共享、租赁或外协。</x:v>
      </x:c>
      <x:c r="I3" s="21" t="str">
        <x:v>填写说明：购买后在表格最后一行的下一行新增记录；预算小计=数量×单价，并自动计入总览。P0=立即到位，P1=原型/样机阶段，P2=优先共享、租赁或外协。</x:v>
      </x:c>
      <x:c r="J3" s="21" t="str">
        <x:v>填写说明：购买后在表格最后一行的下一行新增记录；预算小计=数量×单价，并自动计入总览。P0=立即到位，P1=原型/样机阶段，P2=优先共享、租赁或外协。</x:v>
      </x:c>
      <x:c r="K3" s="21" t="str">
        <x:v>填写说明：购买后在表格最后一行的下一行新增记录；预算小计=数量×单价，并自动计入总览。P0=立即到位，P1=原型/样机阶段，P2=优先共享、租赁或外协。</x:v>
      </x:c>
      <x:c r="L3" s="21" t="str">
        <x:v>填写说明：购买后在表格最后一行的下一行新增记录；预算小计=数量×单价，并自动计入总览。P0=立即到位，P1=原型/样机阶段，P2=优先共享、租赁或外协。</x:v>
      </x:c>
      <x:c r="M3" s="21" t="str">
        <x:v>填写说明：购买后在表格最后一行的下一行新增记录；预算小计=数量×单价，并自动计入总览。P0=立即到位，P1=原型/样机阶段，P2=优先共享、租赁或外协。</x:v>
      </x:c>
      <x:c r="N3" s="21" t="str">
        <x:v>填写说明：购买后在表格最后一行的下一行新增记录；预算小计=数量×单价，并自动计入总览。P0=立即到位，P1=原型/样机阶段，P2=优先共享、租赁或外协。</x:v>
      </x:c>
    </x:row>
    <x:row r="5" ht="32" customHeight="1">
      <x:c r="A5" s="2" t="s">
        <x:v>38</x:v>
      </x:c>
      <x:c r="B5" s="3" t="s">
        <x:v>4</x:v>
      </x:c>
      <x:c r="C5" s="3" t="s">
        <x:v>39</x:v>
      </x:c>
      <x:c r="D5" s="3" t="s">
        <x:v>40</x:v>
      </x:c>
      <x:c r="E5" s="3" t="s">
        <x:v>41</x:v>
      </x:c>
      <x:c r="F5" s="3" t="s">
        <x:v>42</x:v>
      </x:c>
      <x:c r="G5" s="3" t="s">
        <x:v>43</x:v>
      </x:c>
      <x:c r="H5" s="3" t="s">
        <x:v>44</x:v>
      </x:c>
      <x:c r="I5" s="3" t="s">
        <x:v>45</x:v>
      </x:c>
      <x:c r="J5" s="3" t="s">
        <x:v>46</x:v>
      </x:c>
      <x:c r="K5" s="3" t="s">
        <x:v>47</x:v>
      </x:c>
      <x:c r="L5" s="3" t="s">
        <x:v>48</x:v>
      </x:c>
      <x:c r="M5" s="3" t="s">
        <x:v>49</x:v>
      </x:c>
      <x:c r="N5" s="3" t="s">
        <x:v>7</x:v>
      </x:c>
    </x:row>
    <x:row r="6" ht="58" customHeight="1">
      <x:c r="A6" s="36">
        <x:v>1</x:v>
      </x:c>
      <x:c r="B6" s="37" t="s">
        <x:v>8</x:v>
      </x:c>
      <x:c r="C6" s="38" t="s">
        <x:v>50</x:v>
      </x:c>
      <x:c r="D6" s="37" t="s">
        <x:v>51</x:v>
      </x:c>
      <x:c r="E6" s="37" t="s">
        <x:v>52</x:v>
      </x:c>
      <x:c r="F6" s="38">
        <x:v>1</x:v>
      </x:c>
      <x:c r="G6" s="38" t="s">
        <x:v>53</x:v>
      </x:c>
      <x:c r="H6" s="39" t="s">
        <x:v>54</x:v>
      </x:c>
      <x:c r="I6" s="39" t="s">
        <x:v>55</x:v>
      </x:c>
      <x:c r="J6" s="40" t="s">
        <x:v>56</x:v>
      </x:c>
      <x:c r="K6" s="38" t="s">
        <x:v>57</x:v>
      </x:c>
      <x:c r="L6" s="37" t="s">
        <x:v>58</x:v>
      </x:c>
      <x:c r="M6" s="41">
        <x:v>33</x:v>
      </x:c>
      <x:c r="N6" s="42" t="n">
        <x:f t="shared" ref="N6:N13" si="0">IF(OR(F6="",M6=""),0,F6*M6)</x:f>
        <x:v>33</x:v>
      </x:c>
    </x:row>
    <x:row r="7" ht="58" customHeight="1">
      <x:c r="A7" s="4">
        <x:v>2</x:v>
      </x:c>
      <x:c r="B7" s="1" t="s">
        <x:v>8</x:v>
      </x:c>
      <x:c r="C7" s="5" t="s">
        <x:v>50</x:v>
      </x:c>
      <x:c r="D7" s="1" t="s">
        <x:v>59</x:v>
      </x:c>
      <x:c r="E7" s="1" t="s">
        <x:v>60</x:v>
      </x:c>
      <x:c r="F7" s="5">
        <x:v>1</x:v>
      </x:c>
      <x:c r="G7" s="5" t="s">
        <x:v>61</x:v>
      </x:c>
      <x:c r="H7" s="7" t="s">
        <x:v>54</x:v>
      </x:c>
      <x:c r="I7" s="7" t="s">
        <x:v>62</x:v>
      </x:c>
      <x:c r="J7" s="1" t="s">
        <x:v>63</x:v>
      </x:c>
      <x:c r="K7" s="5" t="s">
        <x:v>57</x:v>
      </x:c>
      <x:c r="L7" s="1" t="s">
        <x:v>64</x:v>
      </x:c>
      <x:c r="M7" s="6">
        <x:v>9.2799999999999994</x:v>
      </x:c>
      <x:c r="N7" s="43" t="n">
        <x:f t="shared" si="0">IF(OR(F7="",M7=""),0,F7*M7)</x:f>
        <x:v>9.28</x:v>
      </x:c>
    </x:row>
    <x:row r="8" ht="58" customHeight="1">
      <x:c r="A8" s="4">
        <x:v>3</x:v>
      </x:c>
      <x:c r="B8" s="1" t="s">
        <x:v>12</x:v>
      </x:c>
      <x:c r="C8" s="5" t="s">
        <x:v>50</x:v>
      </x:c>
      <x:c r="D8" s="1" t="s">
        <x:v>65</x:v>
      </x:c>
      <x:c r="E8" s="1" t="s">
        <x:v>66</x:v>
      </x:c>
      <x:c r="F8" s="5">
        <x:v>1</x:v>
      </x:c>
      <x:c r="G8" s="5" t="s">
        <x:v>67</x:v>
      </x:c>
      <x:c r="H8" s="7" t="s">
        <x:v>54</x:v>
      </x:c>
      <x:c r="I8" s="7" t="s">
        <x:v>55</x:v>
      </x:c>
      <x:c r="J8" s="1" t="s">
        <x:v>68</x:v>
      </x:c>
      <x:c r="K8" s="5" t="s">
        <x:v>57</x:v>
      </x:c>
      <x:c r="L8" s="1" t="s">
        <x:v>69</x:v>
      </x:c>
      <x:c r="M8" s="6">
        <x:v>29.2</x:v>
      </x:c>
      <x:c r="N8" s="43" t="n">
        <x:f t="shared" si="0">IF(OR(F8="",M8=""),0,F8*M8)</x:f>
        <x:v>29.2</x:v>
      </x:c>
    </x:row>
    <x:row r="9" ht="58" customHeight="1">
      <x:c r="A9" s="4">
        <x:v>4</x:v>
      </x:c>
      <x:c r="B9" s="1" t="s">
        <x:v>12</x:v>
      </x:c>
      <x:c r="C9" s="5" t="s">
        <x:v>50</x:v>
      </x:c>
      <x:c r="D9" s="1" t="s">
        <x:v>70</x:v>
      </x:c>
      <x:c r="E9" s="1" t="s">
        <x:v>71</x:v>
      </x:c>
      <x:c r="F9" s="5">
        <x:v>2</x:v>
      </x:c>
      <x:c r="G9" s="5" t="s">
        <x:v>61</x:v>
      </x:c>
      <x:c r="H9" s="7" t="s">
        <x:v>72</x:v>
      </x:c>
      <x:c r="I9" s="7" t="s">
        <x:v>55</x:v>
      </x:c>
      <x:c r="J9" s="1"/>
      <x:c r="K9" s="5" t="s">
        <x:v>73</x:v>
      </x:c>
      <x:c r="L9" s="1" t="s">
        <x:v>74</x:v>
      </x:c>
      <x:c r="M9" s="6"/>
      <x:c r="N9" s="43" t="n">
        <x:f t="shared" si="0">IF(OR(F9="",M9=""),0,F9*M9)</x:f>
        <x:v>0</x:v>
      </x:c>
    </x:row>
    <x:row r="10" ht="58" customHeight="1">
      <x:c r="A10" s="4">
        <x:v>5</x:v>
      </x:c>
      <x:c r="B10" s="1" t="s">
        <x:v>12</x:v>
      </x:c>
      <x:c r="C10" s="5" t="s">
        <x:v>50</x:v>
      </x:c>
      <x:c r="D10" s="1" t="s">
        <x:v>75</x:v>
      </x:c>
      <x:c r="E10" s="1" t="s">
        <x:v>76</x:v>
      </x:c>
      <x:c r="F10" s="5">
        <x:v>1</x:v>
      </x:c>
      <x:c r="G10" s="5" t="s">
        <x:v>61</x:v>
      </x:c>
      <x:c r="H10" s="7" t="s">
        <x:v>54</x:v>
      </x:c>
      <x:c r="I10" s="7" t="s">
        <x:v>55</x:v>
      </x:c>
      <x:c r="J10" s="1" t="s">
        <x:v>77</x:v>
      </x:c>
      <x:c r="K10" s="5" t="s">
        <x:v>57</x:v>
      </x:c>
      <x:c r="L10" s="1" t="s">
        <x:v>78</x:v>
      </x:c>
      <x:c r="M10" s="6">
        <x:v>47</x:v>
      </x:c>
      <x:c r="N10" s="43" t="n">
        <x:f t="shared" si="0">IF(OR(F10="",M10=""),0,F10*M10)</x:f>
        <x:v>47</x:v>
      </x:c>
    </x:row>
    <x:row r="11" ht="58" customHeight="1">
      <x:c r="A11" s="4">
        <x:v>6</x:v>
      </x:c>
      <x:c r="B11" s="1" t="s">
        <x:v>14</x:v>
      </x:c>
      <x:c r="C11" s="5" t="s">
        <x:v>79</x:v>
      </x:c>
      <x:c r="D11" s="1" t="s">
        <x:v>80</x:v>
      </x:c>
      <x:c r="E11" s="1"/>
      <x:c r="F11" s="5">
        <x:v>1</x:v>
      </x:c>
      <x:c r="G11" s="5" t="s">
        <x:v>81</x:v>
      </x:c>
      <x:c r="H11" s="7" t="s">
        <x:v>72</x:v>
      </x:c>
      <x:c r="I11" s="7" t="s">
        <x:v>55</x:v>
      </x:c>
      <x:c r="J11" s="1"/>
      <x:c r="K11" s="5" t="s">
        <x:v>82</x:v>
      </x:c>
      <x:c r="L11" s="1" t="s">
        <x:v>83</x:v>
      </x:c>
      <x:c r="M11" s="6"/>
      <x:c r="N11" s="43" t="n">
        <x:f t="shared" si="0">IF(OR(F11="",M11=""),0,F11*M11)</x:f>
        <x:v>0</x:v>
      </x:c>
    </x:row>
    <x:row r="12" ht="58" customHeight="1">
      <x:c r="A12" s="4">
        <x:v>7</x:v>
      </x:c>
      <x:c r="B12" s="1" t="s">
        <x:v>15</x:v>
      </x:c>
      <x:c r="C12" s="5" t="s">
        <x:v>79</x:v>
      </x:c>
      <x:c r="D12" s="1" t="s">
        <x:v>84</x:v>
      </x:c>
      <x:c r="E12" s="1" t="s">
        <x:v>85</x:v>
      </x:c>
      <x:c r="F12" s="5">
        <x:v>1</x:v>
      </x:c>
      <x:c r="G12" s="5" t="s">
        <x:v>81</x:v>
      </x:c>
      <x:c r="H12" s="7" t="s">
        <x:v>86</x:v>
      </x:c>
      <x:c r="I12" s="7" t="s">
        <x:v>55</x:v>
      </x:c>
      <x:c r="J12" s="1" t="s">
        <x:v>87</x:v>
      </x:c>
      <x:c r="K12" s="5" t="s">
        <x:v>88</x:v>
      </x:c>
      <x:c r="L12" s="1" t="s">
        <x:v>89</x:v>
      </x:c>
      <x:c r="M12" s="6"/>
      <x:c r="N12" s="43" t="n">
        <x:f t="shared" si="0">IF(OR(F12="",M12=""),0,F12*M12)</x:f>
        <x:v>0</x:v>
      </x:c>
    </x:row>
    <x:row r="13" ht="58" customHeight="1">
      <x:c r="A13" s="44" t="n">
        <x:v>8</x:v>
      </x:c>
      <x:c r="B13" s="45" t="str">
        <x:v>扩展仪器</x:v>
      </x:c>
      <x:c r="C13" s="46" t="str">
        <x:v>P1</x:v>
      </x:c>
      <x:c r="D13" s="45" t="str">
        <x:v>台式万用表</x:v>
      </x:c>
      <x:c r="E13" s="45" t="str">
        <x:v>34401台式万用表</x:v>
      </x:c>
      <x:c r="F13" s="46" t="n">
        <x:v>1</x:v>
      </x:c>
      <x:c r="G13" s="46" t="str">
        <x:v>台</x:v>
      </x:c>
      <x:c r="H13" s="47" t="str">
        <x:v>待申请</x:v>
      </x:c>
      <x:c r="I13" s="47" t="str">
        <x:v>是</x:v>
      </x:c>
      <x:c r="J13" s="45"/>
      <x:c r="K13" s="46" t="str">
        <x:v>W3-W4</x:v>
      </x:c>
      <x:c r="L13" s="45" t="str">
        <x:v>电路测量，硬件调试</x:v>
      </x:c>
      <x:c r="M13" s="48" t="n">
        <x:v>1325.8</x:v>
      </x:c>
      <x:c r="N13" s="49" t="n">
        <x:f t="shared" si="0">IF(OR(F13="",M13=""),0,F13*M13)</x:f>
        <x:v>1325.8</x:v>
      </x:c>
    </x:row>
    <x:row r="14" ht="58" customHeight="1">
      <x:c r="A14" s="50" t="n">
        <x:v>9</x:v>
      </x:c>
      <x:c r="B14" s="51" t="str">
        <x:v>MCU与调试</x:v>
      </x:c>
      <x:c r="C14" s="50" t="str">
        <x:v>P0</x:v>
      </x:c>
      <x:c r="D14" s="51" t="str">
        <x:v>上位机开发板</x:v>
      </x:c>
      <x:c r="E14" s="51" t="str">
        <x:v>飞凌嵌入式RK3568开发板</x:v>
      </x:c>
      <x:c r="F14" s="50" t="n">
        <x:v>1</x:v>
      </x:c>
      <x:c r="G14" s="50" t="str">
        <x:v>台</x:v>
      </x:c>
      <x:c r="H14" s="50" t="str">
        <x:v>待申请</x:v>
      </x:c>
      <x:c r="I14" s="50" t="str">
        <x:v>是</x:v>
      </x:c>
      <x:c r="J14" s="52"/>
      <x:c r="K14" s="50" t="str">
        <x:v>W1</x:v>
      </x:c>
      <x:c r="L14" s="51" t="str">
        <x:v>上位机在硬件完成之前先行开发UI部分</x:v>
      </x:c>
      <x:c r="M14" s="53" t="n">
        <x:v>1786</x:v>
      </x:c>
      <x:c r="N14" s="53" t="n">
        <x:f t="shared" ref="N14" si="1">IF(OR(F14="",M14=""),0,F14*M14)</x:f>
        <x:v>1786</x:v>
      </x:c>
    </x:row>
  </x:sheetData>
  <x:mergeCells>
    <x:mergeCell ref="A1:N1"/>
    <x:mergeCell ref="A2:N2"/>
    <x:mergeCell ref="A3:N3"/>
  </x:mergeCells>
  <x:conditionalFormatting sqref="C6:C14">
    <x:cfRule type="containsText" dxfId="19" priority="1" operator="containsText" text="P0"/>
    <x:cfRule type="containsText" dxfId="18" priority="2" operator="containsText" text="P1"/>
    <x:cfRule type="containsText" dxfId="17" priority="3" operator="containsText" text="P2"/>
  </x:conditionalFormatting>
  <x:conditionalFormatting sqref="H6:H14">
    <x:cfRule type="containsText" dxfId="16" priority="4" operator="containsText" text="已购"/>
  </x:conditionalFormatting>
  <x:conditionalFormatting sqref="I6:I14">
    <x:cfRule type="containsText" dxfId="15" priority="5" operator="containsText" text="待核对"/>
    <x:cfRule type="containsText" dxfId="14" priority="6" operator="containsText" text="需确认"/>
  </x:conditionalFormatting>
  <x:dataValidations count="10">
    <x:dataValidation type="list" sqref="C6:C14">
      <x:formula1>"P0,P1,P2"</x:formula1>
    </x:dataValidation>
    <x:dataValidation type="list" sqref="H6:H14">
      <x:formula1>"待申请,已购,选型待定,共享或外协,外协"</x:formula1>
    </x:dataValidation>
    <x:dataValidation type="list" sqref="I6:I14">
      <x:formula1>"是,待核对,需确认,不适用"</x:formula1>
    </x:dataValidation>
    <x:dataValidation type="decimal" operator="greaterThanOrEqual" sqref="M6:M14">
      <x:formula1>0</x:formula1>
    </x:dataValidation>
    <x:dataValidation type="list" sqref="B6:B205">
      <x:formula1>"MCU与调试,通信联调,基础仪器,数字调试,负载与治具,安全与工装,扩展仪器,电池与充电,方案预研元件,电极与附件,安规与验证,EMC与可靠性,工艺与返修"</x:formula1>
    </x:dataValidation>
    <x:dataValidation type="list" sqref="C6:C205">
      <x:formula1>"P0,P1,P2"</x:formula1>
    </x:dataValidation>
    <x:dataValidation type="list" sqref="H6:H205">
      <x:formula1>"已购,待申请,选型待定,共享或外协,外协"</x:formula1>
    </x:dataValidation>
    <x:dataValidation type="list" sqref="I6:I205">
      <x:formula1>"是,否,不适用,待核对,需确认"</x:formula1>
    </x:dataValidation>
    <x:dataValidation type="whole" operator="greaterThanOrEqual" sqref="F6:F205">
      <x:formula1>0</x:formula1>
    </x:dataValidation>
    <x:dataValidation type="decimal" operator="greaterThanOrEqual" sqref="M6:M20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9a6bbc2d404794"/>
  </x:tableParts>
</x:worksheet>
</file>